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Week" sheetId="1" state="visible" r:id="rId1"/>
    <sheet xmlns:r="http://schemas.openxmlformats.org/officeDocument/2006/relationships" name="2-Week" sheetId="2" state="visible" r:id="rId2"/>
    <sheet xmlns:r="http://schemas.openxmlformats.org/officeDocument/2006/relationships"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FFFFFFFF"/>
    </font>
    <font>
      <color rgb="FF0A1820"/>
    </font>
    <font>
      <i val="1"/>
      <color rgb="FF6B828C"/>
    </font>
    <font>
      <b val="1"/>
      <color rgb="FF0A1820"/>
    </font>
    <font>
      <b val="1"/>
      <color rgb="FF0A1820"/>
      <sz val="13"/>
    </font>
  </fonts>
  <fills count="5">
    <fill>
      <patternFill/>
    </fill>
    <fill>
      <patternFill patternType="gray125"/>
    </fill>
    <fill>
      <patternFill patternType="solid">
        <fgColor rgb="FF0A1820"/>
      </patternFill>
    </fill>
    <fill>
      <patternFill patternType="solid">
        <fgColor rgb="FFF7FAFC"/>
      </patternFill>
    </fill>
    <fill>
      <patternFill patternType="solid">
        <fgColor rgb="FFEEF2F5"/>
      </patternFill>
    </fill>
  </fills>
  <borders count="3">
    <border>
      <left/>
      <right/>
      <top/>
      <bottom/>
      <diagonal/>
    </border>
    <border>
      <left style="thin">
        <color rgb="FFD6DDE1"/>
      </left>
      <right style="thin">
        <color rgb="FFD6DDE1"/>
      </right>
      <top style="thin">
        <color rgb="FFD6DDE1"/>
      </top>
      <bottom style="thin">
        <color rgb="FFD6DDE1"/>
      </bottom>
    </border>
    <border>
      <left style="thin">
        <color rgb="FFD6DDE1"/>
      </left>
      <right style="thin">
        <color rgb="FFD6DDE1"/>
      </right>
      <top style="medium">
        <color rgb="FFD6DDE1"/>
      </top>
      <bottom style="thin">
        <color rgb="FFD6DD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164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9" fontId="3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9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Metric  \  Week ending</t>
        </is>
      </c>
      <c r="B1" s="2" t="n">
        <v>46171</v>
      </c>
    </row>
    <row r="2">
      <c r="A2" s="3" t="inlineStr">
        <is>
          <t>Open CUS</t>
        </is>
      </c>
      <c r="B2" s="4" t="n">
        <v>63</v>
      </c>
    </row>
    <row r="3">
      <c r="A3" s="3" t="inlineStr">
        <is>
          <t>Open REP</t>
        </is>
      </c>
      <c r="B3" s="4" t="n">
        <v>36</v>
      </c>
    </row>
    <row r="4">
      <c r="A4" s="5" t="inlineStr">
        <is>
          <t>Open total</t>
        </is>
      </c>
      <c r="B4" s="6">
        <f>B2+B3</f>
        <v/>
      </c>
    </row>
    <row r="5">
      <c r="A5" s="3" t="inlineStr">
        <is>
          <t>CUS · Created</t>
        </is>
      </c>
      <c r="B5" s="4" t="n">
        <v>17</v>
      </c>
    </row>
    <row r="6">
      <c r="A6" s="3" t="inlineStr">
        <is>
          <t>CUS · Done</t>
        </is>
      </c>
      <c r="B6" s="4" t="n">
        <v>0</v>
      </c>
    </row>
    <row r="7">
      <c r="A7" s="5" t="inlineStr">
        <is>
          <t>CUS · % done</t>
        </is>
      </c>
      <c r="B7" s="7">
        <f>IF(B5=0,"",B6/B5)</f>
        <v/>
      </c>
    </row>
    <row r="8">
      <c r="A8" s="3" t="inlineStr">
        <is>
          <t>CUS · In progress (Pending dev)</t>
        </is>
      </c>
      <c r="B8" s="4" t="n">
        <v>1</v>
      </c>
    </row>
    <row r="9">
      <c r="A9" s="5" t="inlineStr">
        <is>
          <t>CUS · % w/ in-prog</t>
        </is>
      </c>
      <c r="B9" s="7">
        <f>IF(B5=0,"",(B6+B8)/B5)</f>
        <v/>
      </c>
    </row>
    <row r="10">
      <c r="A10" s="3" t="inlineStr">
        <is>
          <t>REP · Created</t>
        </is>
      </c>
      <c r="B10" s="4" t="n">
        <v>6</v>
      </c>
    </row>
    <row r="11">
      <c r="A11" s="3" t="inlineStr">
        <is>
          <t>REP · Done</t>
        </is>
      </c>
      <c r="B11" s="4" t="n">
        <v>1</v>
      </c>
    </row>
    <row r="12">
      <c r="A12" s="5" t="inlineStr">
        <is>
          <t>REP · % done</t>
        </is>
      </c>
      <c r="B12" s="7">
        <f>IF(B10=0,"",B11/B10)</f>
        <v/>
      </c>
    </row>
    <row r="13">
      <c r="A13" s="3" t="inlineStr">
        <is>
          <t>REP · In review</t>
        </is>
      </c>
      <c r="B13" s="4" t="n">
        <v>4</v>
      </c>
    </row>
    <row r="14">
      <c r="A14" s="5" t="inlineStr">
        <is>
          <t>REP · % w/ in-review</t>
        </is>
      </c>
      <c r="B14" s="7">
        <f>IF(B10=0,"",(B11+B13)/B10)</f>
        <v/>
      </c>
    </row>
    <row r="15">
      <c r="A15" s="8" t="inlineStr">
        <is>
          <t>Total · Created</t>
        </is>
      </c>
      <c r="B15" s="9">
        <f>B5+B10</f>
        <v/>
      </c>
    </row>
    <row r="16">
      <c r="A16" s="10" t="inlineStr">
        <is>
          <t>Total · Done</t>
        </is>
      </c>
      <c r="B16" s="11">
        <f>B6+B11</f>
        <v/>
      </c>
    </row>
    <row r="17">
      <c r="A17" s="10" t="inlineStr">
        <is>
          <t>Total · % done</t>
        </is>
      </c>
      <c r="B17" s="12">
        <f>IF(B15=0,"",B16/B15)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Metric  \  Week ending</t>
        </is>
      </c>
      <c r="B1" s="2" t="n">
        <v>46171</v>
      </c>
    </row>
    <row r="2">
      <c r="A2" s="3" t="inlineStr">
        <is>
          <t>Open CUS</t>
        </is>
      </c>
      <c r="B2" s="4" t="n">
        <v>63</v>
      </c>
    </row>
    <row r="3">
      <c r="A3" s="3" t="inlineStr">
        <is>
          <t>Open REP</t>
        </is>
      </c>
      <c r="B3" s="4" t="n">
        <v>36</v>
      </c>
    </row>
    <row r="4">
      <c r="A4" s="5" t="inlineStr">
        <is>
          <t>Open total</t>
        </is>
      </c>
      <c r="B4" s="6">
        <f>B2+B3</f>
        <v/>
      </c>
    </row>
    <row r="5">
      <c r="A5" s="3" t="inlineStr">
        <is>
          <t>CUS · Created</t>
        </is>
      </c>
      <c r="B5" s="4" t="n">
        <v>27</v>
      </c>
    </row>
    <row r="6">
      <c r="A6" s="3" t="inlineStr">
        <is>
          <t>CUS · Done</t>
        </is>
      </c>
      <c r="B6" s="4" t="n">
        <v>2</v>
      </c>
    </row>
    <row r="7">
      <c r="A7" s="5" t="inlineStr">
        <is>
          <t>CUS · % done</t>
        </is>
      </c>
      <c r="B7" s="7">
        <f>IF(B5=0,"",B6/B5)</f>
        <v/>
      </c>
    </row>
    <row r="8">
      <c r="A8" s="3" t="inlineStr">
        <is>
          <t>CUS · In progress (Pending dev)</t>
        </is>
      </c>
      <c r="B8" s="4" t="n">
        <v>1</v>
      </c>
    </row>
    <row r="9">
      <c r="A9" s="5" t="inlineStr">
        <is>
          <t>CUS · % w/ in-prog</t>
        </is>
      </c>
      <c r="B9" s="7">
        <f>IF(B5=0,"",(B6+B8)/B5)</f>
        <v/>
      </c>
    </row>
    <row r="10">
      <c r="A10" s="3" t="inlineStr">
        <is>
          <t>REP · Created</t>
        </is>
      </c>
      <c r="B10" s="4" t="n">
        <v>12</v>
      </c>
    </row>
    <row r="11">
      <c r="A11" s="3" t="inlineStr">
        <is>
          <t>REP · Done</t>
        </is>
      </c>
      <c r="B11" s="4" t="n">
        <v>1</v>
      </c>
    </row>
    <row r="12">
      <c r="A12" s="5" t="inlineStr">
        <is>
          <t>REP · % done</t>
        </is>
      </c>
      <c r="B12" s="7">
        <f>IF(B10=0,"",B11/B10)</f>
        <v/>
      </c>
    </row>
    <row r="13">
      <c r="A13" s="3" t="inlineStr">
        <is>
          <t>REP · In review</t>
        </is>
      </c>
      <c r="B13" s="4" t="n">
        <v>7</v>
      </c>
    </row>
    <row r="14">
      <c r="A14" s="5" t="inlineStr">
        <is>
          <t>REP · % w/ in-review</t>
        </is>
      </c>
      <c r="B14" s="7">
        <f>IF(B10=0,"",(B11+B13)/B10)</f>
        <v/>
      </c>
    </row>
    <row r="15">
      <c r="A15" s="8" t="inlineStr">
        <is>
          <t>Total · Created</t>
        </is>
      </c>
      <c r="B15" s="9">
        <f>B5+B10</f>
        <v/>
      </c>
    </row>
    <row r="16">
      <c r="A16" s="10" t="inlineStr">
        <is>
          <t>Total · Done</t>
        </is>
      </c>
      <c r="B16" s="11">
        <f>B6+B11</f>
        <v/>
      </c>
    </row>
    <row r="17">
      <c r="A17" s="10" t="inlineStr">
        <is>
          <t>Total · % done</t>
        </is>
      </c>
      <c r="B17" s="12">
        <f>IF(B15=0,"",B16/B15)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3" t="inlineStr">
        <is>
          <t>Customer Ops 1 Metric — Tracker</t>
        </is>
      </c>
    </row>
    <row r="2">
      <c r="A2" s="14" t="inlineStr"/>
    </row>
    <row r="3">
      <c r="A3" s="14" t="inlineStr">
        <is>
          <t>Team = Amy, Marco, Latefa, Christophe. Teams covered: CUS (Customer Success) + REP (Reporting).</t>
        </is>
      </c>
    </row>
    <row r="4">
      <c r="A4" s="14" t="inlineStr">
        <is>
          <t>Counts pulled from Linear (filter: issue created by one of the four team members).</t>
        </is>
      </c>
    </row>
    <row r="5">
      <c r="A5" s="14" t="inlineStr"/>
    </row>
    <row r="6">
      <c r="A6" s="15" t="inlineStr">
        <is>
          <t>HOW TO USE</t>
        </is>
      </c>
    </row>
    <row r="7">
      <c r="A7" s="14" t="inlineStr">
        <is>
          <t>Layout is transposed: metrics run down column A, and each WEEK is its own column across the top.</t>
        </is>
      </c>
    </row>
    <row r="8">
      <c r="A8" s="14" t="inlineStr">
        <is>
          <t>To log a new week: copy the latest week's column and paste it into the next empty column to the right,</t>
        </is>
      </c>
    </row>
    <row r="9">
      <c r="A9" s="14" t="inlineStr">
        <is>
          <t>then overwrite the white input cells with the new counts. The grey % / total rows are formulas and</t>
        </is>
      </c>
    </row>
    <row r="10">
      <c r="A10" s="14" t="inlineStr">
        <is>
          <t>recalculate automatically. Once you have several week-columns, select a metric row across the weeks</t>
        </is>
      </c>
    </row>
    <row r="11">
      <c r="A11" s="14" t="inlineStr">
        <is>
          <t>and Insert &gt; Chart (line) to see the trend left-to-right.</t>
        </is>
      </c>
    </row>
    <row r="12">
      <c r="A12" s="14" t="inlineStr"/>
    </row>
    <row r="13">
      <c r="A13" s="15" t="inlineStr">
        <is>
          <t>ROW DEFINITIONS</t>
        </is>
      </c>
    </row>
    <row r="14">
      <c r="A14" s="14" t="inlineStr">
        <is>
          <t>Open CUS / Open REP = tickets currently NOT Done, Canceled, or Duplicate (Triage, Backlog, Todo,</t>
        </is>
      </c>
    </row>
    <row r="15">
      <c r="A15" s="14" t="inlineStr">
        <is>
          <t xml:space="preserve">   In Progress, In Review, etc.), created by the team. Point-in-time as of the week-ending date.</t>
        </is>
      </c>
    </row>
    <row r="16">
      <c r="A16" s="14" t="inlineStr">
        <is>
          <t>Created = issues the team opened during the window (1-Week sheet = that week; 2-Week sheet = trailing 2 wks).</t>
        </is>
      </c>
    </row>
    <row r="17">
      <c r="A17" s="14" t="inlineStr">
        <is>
          <t>Done = of those created in the window, how many are now status Done (same-window cohort; % can't exceed 100%).</t>
        </is>
      </c>
    </row>
    <row r="18">
      <c r="A18" s="14" t="inlineStr">
        <is>
          <t>% done = Done / Created.</t>
        </is>
      </c>
    </row>
    <row r="19">
      <c r="A19" s="14" t="inlineStr">
        <is>
          <t>In progress (CUS) = created-in-window tickets in 'Pending development' (CUS has no In Progress status).</t>
        </is>
      </c>
    </row>
    <row r="20">
      <c r="A20" s="14" t="inlineStr">
        <is>
          <t>In review (REP) = created-in-window tickets in 'In Review'.</t>
        </is>
      </c>
    </row>
    <row r="21">
      <c r="A21" s="14" t="inlineStr">
        <is>
          <t>% w/ in-prog / % w/ in-review = CUMULATIVE (Done + in-flight) / Created — a leading indicator.</t>
        </is>
      </c>
    </row>
    <row r="22">
      <c r="A22" s="14" t="inlineStr"/>
    </row>
    <row r="23">
      <c r="A23" s="15" t="inlineStr">
        <is>
          <t>NOTES</t>
        </is>
      </c>
    </row>
    <row r="24">
      <c r="A24" s="14" t="inlineStr">
        <is>
          <t>Backlog-flush days don't inflate this metric (those tickets were opened in earlier windows).</t>
        </is>
      </c>
    </row>
    <row r="25">
      <c r="A25" s="14" t="inlineStr">
        <is>
          <t>1-Week reads low by design (recent tickets haven't had time to close); 2-Week is more meaningful.</t>
        </is>
      </c>
    </row>
    <row r="26">
      <c r="A26" s="14" t="inlineStr">
        <is>
          <t>Daniela bundle: REP in-review includes REP-315 (umbrella) + sub-reports REP-317/318/319 = 4 tickets, 1 request.</t>
        </is>
      </c>
    </row>
    <row r="27">
      <c r="A27" s="14" t="inlineStr"/>
    </row>
    <row r="28">
      <c r="A28" s="14" t="inlineStr">
        <is>
          <t>Snapshot pre-filled for week ending 2026-05-29. Companion dashboard:</t>
        </is>
      </c>
    </row>
    <row r="29">
      <c r="A29" s="14" t="inlineStr">
        <is>
          <t>https://amytread.github.io/customer-ops-hub/team-throughput/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2026-05-30T00:44:31Z</dcterms:created>
  <dcterms:modified xmlns:dcterms="http://purl.org/dc/terms/" xmlns:xsi="http://www.w3.org/2001/XMLSchema-instance" xsi:type="dcterms:W3CDTF">2026-05-30T00:44:31Z</dcterms:modified>
</cp:coreProperties>
</file>