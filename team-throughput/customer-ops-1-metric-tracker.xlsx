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-Week" sheetId="1" state="visible" r:id="rId1"/>
    <sheet xmlns:r="http://schemas.openxmlformats.org/officeDocument/2006/relationships" name="2-Week" sheetId="2" state="visible" r:id="rId2"/>
    <sheet xmlns:r="http://schemas.openxmlformats.org/officeDocument/2006/relationships" name="Methodolog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Calibri"/>
      <b val="1"/>
      <color rgb="FFFFFFFF"/>
    </font>
    <font>
      <b val="1"/>
      <color rgb="FF0A1820"/>
    </font>
    <font>
      <b val="1"/>
      <color rgb="FF0A1820"/>
      <sz val="13"/>
    </font>
    <font>
      <color rgb="FF0A1820"/>
    </font>
  </fonts>
  <fills count="4">
    <fill>
      <patternFill/>
    </fill>
    <fill>
      <patternFill patternType="gray125"/>
    </fill>
    <fill>
      <patternFill patternType="solid">
        <fgColor rgb="FF0A1820"/>
      </patternFill>
    </fill>
    <fill>
      <patternFill patternType="solid">
        <fgColor rgb="FFEEF2F5"/>
      </patternFill>
    </fill>
  </fills>
  <borders count="2">
    <border>
      <left/>
      <right/>
      <top/>
      <bottom/>
      <diagonal/>
    </border>
    <border>
      <left style="thin">
        <color rgb="FFD6DDE1"/>
      </left>
      <right style="thin">
        <color rgb="FFD6DDE1"/>
      </right>
      <top style="thin">
        <color rgb="FFD6DDE1"/>
      </top>
      <bottom style="thin">
        <color rgb="FFD6DD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3" borderId="1" pivotButton="0" quotePrefix="0" xfId="0"/>
    <xf numFmtId="164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>
      <c r="A1" s="1" t="inlineStr">
        <is>
          <t>Week ending</t>
        </is>
      </c>
      <c r="B1" s="2" t="inlineStr">
        <is>
          <t>Open</t>
        </is>
      </c>
      <c r="C1" s="3" t="n"/>
      <c r="D1" s="3" t="n"/>
      <c r="E1" s="2" t="inlineStr">
        <is>
          <t>CUS</t>
        </is>
      </c>
      <c r="F1" s="3" t="n"/>
      <c r="G1" s="3" t="n"/>
      <c r="H1" s="3" t="n"/>
      <c r="I1" s="3" t="n"/>
      <c r="J1" s="2" t="inlineStr">
        <is>
          <t>REP</t>
        </is>
      </c>
      <c r="K1" s="3" t="n"/>
      <c r="L1" s="3" t="n"/>
      <c r="M1" s="3" t="n"/>
      <c r="N1" s="3" t="n"/>
      <c r="O1" s="2" t="inlineStr">
        <is>
          <t>Total</t>
        </is>
      </c>
      <c r="P1" s="3" t="n"/>
      <c r="Q1" s="3" t="n"/>
    </row>
    <row r="2">
      <c r="A2" s="4" t="n"/>
      <c r="B2" s="1" t="inlineStr">
        <is>
          <t>Open CUS</t>
        </is>
      </c>
      <c r="C2" s="1" t="inlineStr">
        <is>
          <t>Open REP</t>
        </is>
      </c>
      <c r="D2" s="1" t="inlineStr">
        <is>
          <t>Open total</t>
        </is>
      </c>
      <c r="E2" s="1" t="inlineStr">
        <is>
          <t>Created</t>
        </is>
      </c>
      <c r="F2" s="1" t="inlineStr">
        <is>
          <t>Done</t>
        </is>
      </c>
      <c r="G2" s="1" t="inlineStr">
        <is>
          <t>% done</t>
        </is>
      </c>
      <c r="H2" s="1" t="inlineStr">
        <is>
          <t>In progress</t>
        </is>
      </c>
      <c r="I2" s="1" t="inlineStr">
        <is>
          <t>% w/ in-prog</t>
        </is>
      </c>
      <c r="J2" s="1" t="inlineStr">
        <is>
          <t>Created</t>
        </is>
      </c>
      <c r="K2" s="1" t="inlineStr">
        <is>
          <t>Done</t>
        </is>
      </c>
      <c r="L2" s="1" t="inlineStr">
        <is>
          <t>% done</t>
        </is>
      </c>
      <c r="M2" s="1" t="inlineStr">
        <is>
          <t>In review</t>
        </is>
      </c>
      <c r="N2" s="1" t="inlineStr">
        <is>
          <t>% w/ in-review</t>
        </is>
      </c>
      <c r="O2" s="1" t="inlineStr">
        <is>
          <t>Created</t>
        </is>
      </c>
      <c r="P2" s="1" t="inlineStr">
        <is>
          <t>Done</t>
        </is>
      </c>
      <c r="Q2" s="1" t="inlineStr">
        <is>
          <t>% done</t>
        </is>
      </c>
    </row>
    <row r="3">
      <c r="A3" s="5" t="n">
        <v>46171</v>
      </c>
      <c r="B3" s="6" t="n">
        <v>63</v>
      </c>
      <c r="C3" s="6" t="n">
        <v>36</v>
      </c>
      <c r="D3" s="6">
        <f>B3+C3</f>
        <v/>
      </c>
      <c r="E3" s="6" t="n">
        <v>17</v>
      </c>
      <c r="F3" s="6" t="n">
        <v>0</v>
      </c>
      <c r="G3" s="7">
        <f>IF(E3=0,"",F3/E3)</f>
        <v/>
      </c>
      <c r="H3" s="6" t="n">
        <v>1</v>
      </c>
      <c r="I3" s="7">
        <f>IF(E3=0,"",(F3+H3)/E3)</f>
        <v/>
      </c>
      <c r="J3" s="6" t="n">
        <v>6</v>
      </c>
      <c r="K3" s="6" t="n">
        <v>1</v>
      </c>
      <c r="L3" s="7">
        <f>IF(J3=0,"",K3/J3)</f>
        <v/>
      </c>
      <c r="M3" s="6" t="n">
        <v>4</v>
      </c>
      <c r="N3" s="7">
        <f>IF(J3=0,"",(K3+M3)/J3)</f>
        <v/>
      </c>
      <c r="O3" s="6">
        <f>E3+J3</f>
        <v/>
      </c>
      <c r="P3" s="6">
        <f>F3+K3</f>
        <v/>
      </c>
      <c r="Q3" s="7">
        <f>IF(O3=0,"",P3/O3)</f>
        <v/>
      </c>
    </row>
  </sheetData>
  <mergeCells count="5">
    <mergeCell ref="O1:Q1"/>
    <mergeCell ref="B1:D1"/>
    <mergeCell ref="E1:I1"/>
    <mergeCell ref="J1:N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>
      <c r="A1" s="1" t="inlineStr">
        <is>
          <t>Week ending</t>
        </is>
      </c>
      <c r="B1" s="2" t="inlineStr">
        <is>
          <t>Open</t>
        </is>
      </c>
      <c r="C1" s="3" t="n"/>
      <c r="D1" s="3" t="n"/>
      <c r="E1" s="2" t="inlineStr">
        <is>
          <t>CUS</t>
        </is>
      </c>
      <c r="F1" s="3" t="n"/>
      <c r="G1" s="3" t="n"/>
      <c r="H1" s="3" t="n"/>
      <c r="I1" s="3" t="n"/>
      <c r="J1" s="2" t="inlineStr">
        <is>
          <t>REP</t>
        </is>
      </c>
      <c r="K1" s="3" t="n"/>
      <c r="L1" s="3" t="n"/>
      <c r="M1" s="3" t="n"/>
      <c r="N1" s="3" t="n"/>
      <c r="O1" s="2" t="inlineStr">
        <is>
          <t>Total</t>
        </is>
      </c>
      <c r="P1" s="3" t="n"/>
      <c r="Q1" s="3" t="n"/>
    </row>
    <row r="2">
      <c r="A2" s="4" t="n"/>
      <c r="B2" s="1" t="inlineStr">
        <is>
          <t>Open CUS</t>
        </is>
      </c>
      <c r="C2" s="1" t="inlineStr">
        <is>
          <t>Open REP</t>
        </is>
      </c>
      <c r="D2" s="1" t="inlineStr">
        <is>
          <t>Open total</t>
        </is>
      </c>
      <c r="E2" s="1" t="inlineStr">
        <is>
          <t>Created</t>
        </is>
      </c>
      <c r="F2" s="1" t="inlineStr">
        <is>
          <t>Done</t>
        </is>
      </c>
      <c r="G2" s="1" t="inlineStr">
        <is>
          <t>% done</t>
        </is>
      </c>
      <c r="H2" s="1" t="inlineStr">
        <is>
          <t>In progress</t>
        </is>
      </c>
      <c r="I2" s="1" t="inlineStr">
        <is>
          <t>% w/ in-prog</t>
        </is>
      </c>
      <c r="J2" s="1" t="inlineStr">
        <is>
          <t>Created</t>
        </is>
      </c>
      <c r="K2" s="1" t="inlineStr">
        <is>
          <t>Done</t>
        </is>
      </c>
      <c r="L2" s="1" t="inlineStr">
        <is>
          <t>% done</t>
        </is>
      </c>
      <c r="M2" s="1" t="inlineStr">
        <is>
          <t>In review</t>
        </is>
      </c>
      <c r="N2" s="1" t="inlineStr">
        <is>
          <t>% w/ in-review</t>
        </is>
      </c>
      <c r="O2" s="1" t="inlineStr">
        <is>
          <t>Created</t>
        </is>
      </c>
      <c r="P2" s="1" t="inlineStr">
        <is>
          <t>Done</t>
        </is>
      </c>
      <c r="Q2" s="1" t="inlineStr">
        <is>
          <t>% done</t>
        </is>
      </c>
    </row>
    <row r="3">
      <c r="A3" s="5" t="n">
        <v>46171</v>
      </c>
      <c r="B3" s="6" t="n">
        <v>63</v>
      </c>
      <c r="C3" s="6" t="n">
        <v>36</v>
      </c>
      <c r="D3" s="6">
        <f>B3+C3</f>
        <v/>
      </c>
      <c r="E3" s="6" t="n">
        <v>27</v>
      </c>
      <c r="F3" s="6" t="n">
        <v>2</v>
      </c>
      <c r="G3" s="7">
        <f>IF(E3=0,"",F3/E3)</f>
        <v/>
      </c>
      <c r="H3" s="6" t="n">
        <v>1</v>
      </c>
      <c r="I3" s="7">
        <f>IF(E3=0,"",(F3+H3)/E3)</f>
        <v/>
      </c>
      <c r="J3" s="6" t="n">
        <v>12</v>
      </c>
      <c r="K3" s="6" t="n">
        <v>1</v>
      </c>
      <c r="L3" s="7">
        <f>IF(J3=0,"",K3/J3)</f>
        <v/>
      </c>
      <c r="M3" s="6" t="n">
        <v>7</v>
      </c>
      <c r="N3" s="7">
        <f>IF(J3=0,"",(K3+M3)/J3)</f>
        <v/>
      </c>
      <c r="O3" s="6">
        <f>E3+J3</f>
        <v/>
      </c>
      <c r="P3" s="6">
        <f>F3+K3</f>
        <v/>
      </c>
      <c r="Q3" s="7">
        <f>IF(O3=0,"",P3/O3)</f>
        <v/>
      </c>
    </row>
  </sheetData>
  <mergeCells count="5">
    <mergeCell ref="O1:Q1"/>
    <mergeCell ref="B1:D1"/>
    <mergeCell ref="E1:I1"/>
    <mergeCell ref="J1:N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Customer Ops 1 Metric — Tracker</t>
        </is>
      </c>
    </row>
    <row r="2">
      <c r="A2" s="9" t="inlineStr"/>
    </row>
    <row r="3">
      <c r="A3" s="9" t="inlineStr">
        <is>
          <t>Team = Amy, Marco, Latefa, Christophe. Teams covered: CUS (Customer Success) + REP (Reporting).</t>
        </is>
      </c>
    </row>
    <row r="4">
      <c r="A4" s="9" t="inlineStr">
        <is>
          <t>Counts are pulled from Linear (filter: issue created by one of the four team members).</t>
        </is>
      </c>
    </row>
    <row r="5">
      <c r="A5" s="9" t="inlineStr"/>
    </row>
    <row r="6">
      <c r="A6" s="10" t="inlineStr">
        <is>
          <t>HOW TO USE</t>
        </is>
      </c>
    </row>
    <row r="7">
      <c r="A7" s="9" t="inlineStr">
        <is>
          <t>Each row on the 1-Week / 2-Week sheets is one weekly snapshot. To log a new week, add a row, enter the</t>
        </is>
      </c>
    </row>
    <row r="8">
      <c r="A8" s="9" t="inlineStr">
        <is>
          <t>raw counts (white cells), and copy the formula columns (% done, % w/ in-prog, totals) down. Once you have</t>
        </is>
      </c>
    </row>
    <row r="9">
      <c r="A9" s="9" t="inlineStr">
        <is>
          <t>several rows, select a % column + Week ending and Insert &gt; Chart (line) to see the trend.</t>
        </is>
      </c>
    </row>
    <row r="10">
      <c r="A10" s="9" t="inlineStr"/>
    </row>
    <row r="11">
      <c r="A11" s="10" t="inlineStr">
        <is>
          <t>COLUMN DEFINITIONS</t>
        </is>
      </c>
    </row>
    <row r="12">
      <c r="A12" s="9" t="inlineStr">
        <is>
          <t>Open CUS / Open REP = tickets currently NOT Done, Canceled, or Duplicate (Triage, Backlog, Todo,</t>
        </is>
      </c>
    </row>
    <row r="13">
      <c r="A13" s="9" t="inlineStr">
        <is>
          <t xml:space="preserve">   In Progress, In Review, etc.), created by the team. Point-in-time snapshot as of the week-ending date.</t>
        </is>
      </c>
    </row>
    <row r="14">
      <c r="A14" s="9" t="inlineStr">
        <is>
          <t>Created = issues the team opened during the window (this week, or trailing 2 weeks).</t>
        </is>
      </c>
    </row>
    <row r="15">
      <c r="A15" s="9" t="inlineStr">
        <is>
          <t>Done = of those created in the window, how many are now status Done. (Same-window cohort: a ticket only</t>
        </is>
      </c>
    </row>
    <row r="16">
      <c r="A16" s="9" t="inlineStr">
        <is>
          <t xml:space="preserve">   counts if it was created AND completed inside the window, so % done can never exceed 100%.)</t>
        </is>
      </c>
    </row>
    <row r="17">
      <c r="A17" s="9" t="inlineStr">
        <is>
          <t>% done = Done / Created.</t>
        </is>
      </c>
    </row>
    <row r="18">
      <c r="A18" s="9" t="inlineStr">
        <is>
          <t>In progress (CUS) = created-in-window tickets sitting in 'Pending development' (CUS has no In Progress</t>
        </is>
      </c>
    </row>
    <row r="19">
      <c r="A19" s="9" t="inlineStr">
        <is>
          <t xml:space="preserve">   status; Pending dev is its active/handed-to-eng stage).</t>
        </is>
      </c>
    </row>
    <row r="20">
      <c r="A20" s="9" t="inlineStr">
        <is>
          <t>In review (REP) = created-in-window tickets sitting in 'In Review'.</t>
        </is>
      </c>
    </row>
    <row r="21">
      <c r="A21" s="9" t="inlineStr">
        <is>
          <t>% w/ in-prog / % w/ in-review = CUMULATIVE: (Done + in-flight) / Created. Done plus near-finished work —</t>
        </is>
      </c>
    </row>
    <row r="22">
      <c r="A22" s="9" t="inlineStr">
        <is>
          <t xml:space="preserve">   a leading indicator of completions about to land.</t>
        </is>
      </c>
    </row>
    <row r="23">
      <c r="A23" s="9" t="inlineStr"/>
    </row>
    <row r="24">
      <c r="A24" s="10" t="inlineStr">
        <is>
          <t>NOTES</t>
        </is>
      </c>
    </row>
    <row r="25">
      <c r="A25" s="9" t="inlineStr">
        <is>
          <t>Backlog-flush days (a batch of old tickets closed at once) do NOT inflate this metric, because those</t>
        </is>
      </c>
    </row>
    <row r="26">
      <c r="A26" s="9" t="inlineStr">
        <is>
          <t xml:space="preserve">   tickets were opened in earlier windows and fail the same-window test.</t>
        </is>
      </c>
    </row>
    <row r="27">
      <c r="A27" s="9" t="inlineStr">
        <is>
          <t>The 1-Week view reads low by design — tickets opened in the last day or two haven't had time to close.</t>
        </is>
      </c>
    </row>
    <row r="28">
      <c r="A28" s="9" t="inlineStr">
        <is>
          <t xml:space="preserve">   The 2-Week view is the more meaningful one.</t>
        </is>
      </c>
    </row>
    <row r="29">
      <c r="A29" s="9" t="inlineStr">
        <is>
          <t>Daniela bundle: REP in-review includes REP-315 (umbrella) + its 3 sub-reports REP-317/318/319 —</t>
        </is>
      </c>
    </row>
    <row r="30">
      <c r="A30" s="9" t="inlineStr">
        <is>
          <t xml:space="preserve">   counted as 4 tickets but representing one bundled request.</t>
        </is>
      </c>
    </row>
    <row r="31">
      <c r="A31" s="9" t="inlineStr"/>
    </row>
    <row r="32">
      <c r="A32" s="9" t="inlineStr">
        <is>
          <t>Snapshot pre-filled for week ending 2026-05-29. Companion dashboard:</t>
        </is>
      </c>
    </row>
    <row r="33">
      <c r="A33" s="9" t="inlineStr">
        <is>
          <t>https://amytread.github.io/customer-ops-hub/team-throughput/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2026-05-30T00:39:58Z</dcterms:created>
  <dcterms:modified xmlns:dcterms="http://purl.org/dc/terms/" xmlns:xsi="http://www.w3.org/2001/XMLSchema-instance" xsi:type="dcterms:W3CDTF">2026-05-30T00:39:58Z</dcterms:modified>
</cp:coreProperties>
</file>